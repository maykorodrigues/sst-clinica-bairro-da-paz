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yko\meu-cerebro\01-projetos\consultoria-comercial\clientes\SST_Clinica_Bairro_da_Paz\"/>
    </mc:Choice>
  </mc:AlternateContent>
  <xr:revisionPtr revIDLastSave="0" documentId="13_ncr:1_{E29CCB48-5E5C-41B9-B656-144EC3199D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DR (estágio) Indicação" sheetId="3" r:id="rId1"/>
    <sheet name="Closer Senior" sheetId="2" r:id="rId2"/>
    <sheet name="Closer Líder" sheetId="1" r:id="rId3"/>
    <sheet name="Consultor da Saúde (Clínica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D9" i="1"/>
  <c r="D9" i="3"/>
  <c r="D9" i="2"/>
  <c r="I3" i="2"/>
  <c r="J3" i="2" s="1"/>
  <c r="K3" i="2" s="1"/>
  <c r="H3" i="1"/>
  <c r="I3" i="1" s="1"/>
  <c r="L9" i="2" l="1"/>
  <c r="G8" i="2"/>
  <c r="G26" i="4"/>
  <c r="I25" i="4"/>
  <c r="J25" i="4" s="1"/>
  <c r="I24" i="4"/>
  <c r="J24" i="4" s="1"/>
  <c r="I23" i="4"/>
  <c r="J23" i="4" s="1"/>
  <c r="I22" i="4"/>
  <c r="J22" i="4" s="1"/>
  <c r="I21" i="4"/>
  <c r="I3" i="4"/>
  <c r="G15" i="4"/>
  <c r="I14" i="4"/>
  <c r="J14" i="4" s="1"/>
  <c r="I13" i="4"/>
  <c r="I12" i="4"/>
  <c r="J12" i="4" s="1"/>
  <c r="I11" i="4"/>
  <c r="J11" i="4" s="1"/>
  <c r="I10" i="4"/>
  <c r="I15" i="4" s="1"/>
  <c r="G8" i="4"/>
  <c r="I7" i="4"/>
  <c r="J7" i="4" s="1"/>
  <c r="J6" i="4"/>
  <c r="I6" i="4"/>
  <c r="I5" i="4"/>
  <c r="J5" i="4" s="1"/>
  <c r="I4" i="4"/>
  <c r="J4" i="4" s="1"/>
  <c r="J3" i="4" l="1"/>
  <c r="I8" i="4"/>
  <c r="I26" i="4"/>
  <c r="J21" i="4"/>
  <c r="J26" i="4"/>
  <c r="J8" i="4"/>
  <c r="J10" i="4"/>
  <c r="J15" i="4" s="1"/>
  <c r="G15" i="3"/>
  <c r="J14" i="3"/>
  <c r="I14" i="3"/>
  <c r="I13" i="3"/>
  <c r="I12" i="3"/>
  <c r="J12" i="3" s="1"/>
  <c r="J11" i="3"/>
  <c r="I11" i="3"/>
  <c r="I10" i="3"/>
  <c r="G8" i="3"/>
  <c r="J7" i="3"/>
  <c r="I7" i="3"/>
  <c r="J6" i="3"/>
  <c r="I6" i="3"/>
  <c r="I5" i="3"/>
  <c r="J5" i="3" s="1"/>
  <c r="I4" i="3"/>
  <c r="J4" i="3" s="1"/>
  <c r="I3" i="3"/>
  <c r="G15" i="2"/>
  <c r="I14" i="2"/>
  <c r="J14" i="2" s="1"/>
  <c r="I13" i="2"/>
  <c r="I12" i="2"/>
  <c r="J12" i="2" s="1"/>
  <c r="I11" i="2"/>
  <c r="J11" i="2" s="1"/>
  <c r="I10" i="2"/>
  <c r="J7" i="2"/>
  <c r="I7" i="2"/>
  <c r="I6" i="2"/>
  <c r="J6" i="2" s="1"/>
  <c r="I5" i="2"/>
  <c r="J5" i="2" s="1"/>
  <c r="I4" i="2"/>
  <c r="J4" i="2" s="1"/>
  <c r="G8" i="1"/>
  <c r="I7" i="1"/>
  <c r="J7" i="1" s="1"/>
  <c r="I6" i="1"/>
  <c r="J6" i="1" s="1"/>
  <c r="I5" i="1"/>
  <c r="J5" i="1" s="1"/>
  <c r="I4" i="1"/>
  <c r="J4" i="1" s="1"/>
  <c r="J3" i="1"/>
  <c r="J8" i="2" l="1"/>
  <c r="J16" i="2" s="1"/>
  <c r="J17" i="2" s="1"/>
  <c r="J16" i="4"/>
  <c r="I15" i="3"/>
  <c r="J10" i="3"/>
  <c r="J15" i="3"/>
  <c r="I8" i="3"/>
  <c r="J3" i="3"/>
  <c r="J8" i="3" s="1"/>
  <c r="I15" i="2"/>
  <c r="J10" i="2"/>
  <c r="J15" i="2" s="1"/>
  <c r="I8" i="2"/>
  <c r="I8" i="1"/>
  <c r="J8" i="1"/>
  <c r="J9" i="1" s="1"/>
  <c r="J16" i="3" l="1"/>
  <c r="J17" i="3" s="1"/>
</calcChain>
</file>

<file path=xl/sharedStrings.xml><?xml version="1.0" encoding="utf-8"?>
<sst xmlns="http://schemas.openxmlformats.org/spreadsheetml/2006/main" count="178" uniqueCount="53">
  <si>
    <t>PLANILHA DE CÁLCULO DE COMISSÃO</t>
  </si>
  <si>
    <t>PLANO DE COMISSIONAMENTO - COMERCIAL</t>
  </si>
  <si>
    <t>PRODUTO</t>
  </si>
  <si>
    <t>QNT.</t>
  </si>
  <si>
    <t>TICKET</t>
  </si>
  <si>
    <t>TOTAL ADESÃO</t>
  </si>
  <si>
    <t>COMISSÃO</t>
  </si>
  <si>
    <t>Plano Família</t>
  </si>
  <si>
    <t>Individual</t>
  </si>
  <si>
    <t xml:space="preserve">Gestor Comercial - % sobre as vendas do TIME </t>
  </si>
  <si>
    <t>Empresarial</t>
  </si>
  <si>
    <t>TIKET DO PRODUTO</t>
  </si>
  <si>
    <t>META 200 vendas Mês</t>
  </si>
  <si>
    <t>META DE VENDAS MENSAL</t>
  </si>
  <si>
    <t>TOTAL DE VENDAS</t>
  </si>
  <si>
    <t>SALÁRIO + COMISSÃO:</t>
  </si>
  <si>
    <t>PATROCÍNIO: De 5% a 10% Da Mensalidade anual</t>
  </si>
  <si>
    <t xml:space="preserve">BONIFICAÇÕES MENSAIS </t>
  </si>
  <si>
    <t>De 100% a 130% da Meta</t>
  </si>
  <si>
    <t>Salão de Beleza / livros / adornos de casa / adornos de carro</t>
  </si>
  <si>
    <t>De 130% a 150% da Meta</t>
  </si>
  <si>
    <t xml:space="preserve">Jantar especial com direito a acompanhante / Treinamento para desenvolvimento pessoal e profissional </t>
  </si>
  <si>
    <t>De 150% a 180% da Meta</t>
  </si>
  <si>
    <t xml:space="preserve">Day Spa com direito acompanhante </t>
  </si>
  <si>
    <t>De 180% a 200% da Meta</t>
  </si>
  <si>
    <t>Notbook ou Celular ou mesa de escritório ou cadeira de escritório</t>
  </si>
  <si>
    <t>De 200% a 300% da Meta</t>
  </si>
  <si>
    <t>Viagem mini-férias para a praia ou hotel fazenda</t>
  </si>
  <si>
    <t>De 300% a 500% da Meta</t>
  </si>
  <si>
    <t>Viagem internacional com direito a acompanhante</t>
  </si>
  <si>
    <t>META DO PRODUTO</t>
  </si>
  <si>
    <t>META 100 vendas Mês</t>
  </si>
  <si>
    <t>TOTAL MÊS</t>
  </si>
  <si>
    <t>TOTAL SEMANAL</t>
  </si>
  <si>
    <t>COMISSÃO TOT</t>
  </si>
  <si>
    <t>Casal</t>
  </si>
  <si>
    <t>TOTAL VENDAS</t>
  </si>
  <si>
    <t>Ganhos de % sobre as Vendas da 1ª Mensalidade</t>
  </si>
  <si>
    <t>FIXO: De R$ 1750,00 a R$2.300,00</t>
  </si>
  <si>
    <t>FIXO: De R$1.500,00</t>
  </si>
  <si>
    <t>Closer de Recorrência - Até 60% sobre as Adesões</t>
  </si>
  <si>
    <t>21-40 cartões</t>
  </si>
  <si>
    <t>PLANO DE COMISSIONAMENTO - AFILIADOS</t>
  </si>
  <si>
    <t>FIXO:ZERO</t>
  </si>
  <si>
    <t>Social Seller e Afiliados - % sobre as Qualificações/ indicações</t>
  </si>
  <si>
    <t>Indicações e Qualificações Mês</t>
  </si>
  <si>
    <t>01-20 cartões</t>
  </si>
  <si>
    <t>41 + cartões</t>
  </si>
  <si>
    <t>41 ou + Cartões</t>
  </si>
  <si>
    <t>80 ou + Cartões</t>
  </si>
  <si>
    <t>PLANO DE REMUNERAÇÃO - COMERCIAL</t>
  </si>
  <si>
    <t>PLANILHA DE CÁLCULO DE REMUNERAÇÃO COMERCIAL</t>
  </si>
  <si>
    <t>CONSULTOR DE SAÚDE AUTONOMO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</si>
</sst>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[$R$ -416]* #,##0.00_);_([$R$ -416]* \(#,##0.00\);_([$R$ -416]* &quot;-&quot;??_);_(@_)"/>
    <numFmt numFmtId="165" formatCode="[$R$ -416]#,##0.00"/>
    <numFmt numFmtId="166" formatCode="&quot;R$&quot;\ #,##0.00"/>
  </numFmts>
  <fonts count="14">
    <font>
      <sz val="10"/>
      <color rgb="FF000000"/>
      <name val="Trebuchet MS"/>
      <scheme val="minor"/>
    </font>
    <font>
      <b/>
      <sz val="12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Comfortaa"/>
    </font>
    <font>
      <b/>
      <sz val="11"/>
      <color theme="1"/>
      <name val="Trebuchet MS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Comfortaa"/>
    </font>
    <font>
      <sz val="10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1"/>
      <color theme="1"/>
      <name val="Comfortaa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5"/>
        <bgColor rgb="FF00112B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rgb="FF9FC5E8"/>
      </patternFill>
    </fill>
    <fill>
      <patternFill patternType="solid">
        <fgColor theme="5" tint="0.59999389629810485"/>
        <bgColor rgb="FFFFE599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112B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495E69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000000"/>
      </right>
      <top style="thin">
        <color rgb="FF666666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0" fontId="8" fillId="0" borderId="12" xfId="0" applyFont="1" applyBorder="1"/>
    <xf numFmtId="9" fontId="8" fillId="0" borderId="12" xfId="0" applyNumberFormat="1" applyFont="1" applyBorder="1" applyAlignment="1">
      <alignment horizontal="center"/>
    </xf>
    <xf numFmtId="10" fontId="8" fillId="0" borderId="12" xfId="0" applyNumberFormat="1" applyFont="1" applyBorder="1" applyAlignment="1">
      <alignment horizontal="center"/>
    </xf>
    <xf numFmtId="165" fontId="10" fillId="0" borderId="12" xfId="0" applyNumberFormat="1" applyFont="1" applyBorder="1"/>
    <xf numFmtId="0" fontId="10" fillId="0" borderId="0" xfId="0" applyFont="1"/>
    <xf numFmtId="164" fontId="10" fillId="0" borderId="0" xfId="0" applyNumberFormat="1" applyFont="1"/>
    <xf numFmtId="0" fontId="5" fillId="0" borderId="0" xfId="0" applyFont="1" applyAlignment="1">
      <alignment horizontal="left"/>
    </xf>
    <xf numFmtId="0" fontId="3" fillId="0" borderId="12" xfId="0" applyFont="1" applyBorder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12" xfId="0" applyFont="1" applyBorder="1" applyAlignment="1">
      <alignment horizontal="center" vertical="center"/>
    </xf>
    <xf numFmtId="165" fontId="9" fillId="5" borderId="0" xfId="0" applyNumberFormat="1" applyFont="1" applyFill="1"/>
    <xf numFmtId="1" fontId="9" fillId="5" borderId="0" xfId="0" applyNumberFormat="1" applyFont="1" applyFill="1"/>
    <xf numFmtId="165" fontId="11" fillId="6" borderId="12" xfId="0" applyNumberFormat="1" applyFont="1" applyFill="1" applyBorder="1" applyAlignment="1">
      <alignment horizontal="center"/>
    </xf>
    <xf numFmtId="165" fontId="12" fillId="5" borderId="0" xfId="0" applyNumberFormat="1" applyFont="1" applyFill="1"/>
    <xf numFmtId="165" fontId="4" fillId="5" borderId="0" xfId="0" applyNumberFormat="1" applyFont="1" applyFill="1"/>
    <xf numFmtId="165" fontId="4" fillId="7" borderId="0" xfId="0" applyNumberFormat="1" applyFont="1" applyFill="1"/>
    <xf numFmtId="0" fontId="4" fillId="8" borderId="0" xfId="0" applyFont="1" applyFill="1" applyAlignment="1">
      <alignment horizontal="right"/>
    </xf>
    <xf numFmtId="0" fontId="7" fillId="11" borderId="7" xfId="0" applyFont="1" applyFill="1" applyBorder="1"/>
    <xf numFmtId="0" fontId="7" fillId="11" borderId="11" xfId="0" applyFont="1" applyFill="1" applyBorder="1"/>
    <xf numFmtId="0" fontId="7" fillId="11" borderId="13" xfId="0" applyFont="1" applyFill="1" applyBorder="1"/>
    <xf numFmtId="0" fontId="7" fillId="11" borderId="17" xfId="0" applyFont="1" applyFill="1" applyBorder="1"/>
    <xf numFmtId="0" fontId="7" fillId="11" borderId="18" xfId="0" applyFont="1" applyFill="1" applyBorder="1"/>
    <xf numFmtId="0" fontId="7" fillId="11" borderId="0" xfId="0" applyFont="1" applyFill="1"/>
    <xf numFmtId="44" fontId="3" fillId="0" borderId="0" xfId="0" applyNumberFormat="1" applyFont="1"/>
    <xf numFmtId="166" fontId="4" fillId="5" borderId="0" xfId="0" applyNumberFormat="1" applyFont="1" applyFill="1"/>
    <xf numFmtId="0" fontId="2" fillId="0" borderId="12" xfId="0" applyFont="1" applyBorder="1" applyAlignment="1">
      <alignment horizontal="center"/>
    </xf>
    <xf numFmtId="165" fontId="13" fillId="5" borderId="0" xfId="0" applyNumberFormat="1" applyFont="1" applyFill="1"/>
    <xf numFmtId="0" fontId="8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3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2" fillId="0" borderId="1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/>
    <xf numFmtId="0" fontId="1" fillId="9" borderId="1" xfId="0" applyFont="1" applyFill="1" applyBorder="1" applyAlignment="1">
      <alignment horizontal="center"/>
    </xf>
    <xf numFmtId="0" fontId="6" fillId="10" borderId="2" xfId="0" applyFont="1" applyFill="1" applyBorder="1"/>
    <xf numFmtId="0" fontId="6" fillId="10" borderId="3" xfId="0" applyFont="1" applyFill="1" applyBorder="1"/>
    <xf numFmtId="0" fontId="3" fillId="0" borderId="14" xfId="0" applyFon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10" borderId="0" xfId="0" applyFill="1"/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1" fillId="3" borderId="1" xfId="0" applyFont="1" applyFill="1" applyBorder="1" applyAlignment="1">
      <alignment horizontal="center"/>
    </xf>
    <xf numFmtId="0" fontId="6" fillId="4" borderId="2" xfId="0" applyFont="1" applyFill="1" applyBorder="1"/>
    <xf numFmtId="0" fontId="6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0</xdr:rowOff>
    </xdr:from>
    <xdr:to>
      <xdr:col>2</xdr:col>
      <xdr:colOff>590549</xdr:colOff>
      <xdr:row>0</xdr:row>
      <xdr:rowOff>841001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84C535-05A0-4521-A3A4-4E0D5ED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0"/>
          <a:ext cx="1104899" cy="841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2</xdr:col>
      <xdr:colOff>371474</xdr:colOff>
      <xdr:row>0</xdr:row>
      <xdr:rowOff>841001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FECD5D-B3FC-438A-BA5C-9239D01C6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0"/>
          <a:ext cx="1104899" cy="841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371708</xdr:colOff>
      <xdr:row>0</xdr:row>
      <xdr:rowOff>0</xdr:rowOff>
    </xdr:from>
    <xdr:to>
      <xdr:col>2</xdr:col>
      <xdr:colOff>477643</xdr:colOff>
      <xdr:row>0</xdr:row>
      <xdr:rowOff>841001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8F8849-0423-450D-B1F7-08B7BBD7D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720" y="0"/>
          <a:ext cx="1104899" cy="841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Facetado">
  <a:themeElements>
    <a:clrScheme name="Facetado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83"/>
  <sheetViews>
    <sheetView showGridLines="0" tabSelected="1" workbookViewId="0">
      <selection activeCell="J4" sqref="J4"/>
    </sheetView>
  </sheetViews>
  <sheetFormatPr defaultColWidth="12.59765625" defaultRowHeight="15.75" customHeight="1"/>
  <cols>
    <col min="1" max="1" width="30.796875" bestFit="1" customWidth="1"/>
    <col min="2" max="2" width="13.69921875" customWidth="1"/>
    <col min="3" max="3" width="14.69921875" bestFit="1" customWidth="1"/>
    <col min="4" max="4" width="16.5" bestFit="1" customWidth="1"/>
    <col min="5" max="5" width="3.59765625" customWidth="1"/>
    <col min="6" max="6" width="19.796875" bestFit="1" customWidth="1"/>
    <col min="7" max="7" width="6.296875" customWidth="1"/>
    <col min="8" max="8" width="10.3984375" bestFit="1" customWidth="1"/>
    <col min="9" max="9" width="23.5" bestFit="1" customWidth="1"/>
    <col min="10" max="10" width="13.8984375" bestFit="1" customWidth="1"/>
  </cols>
  <sheetData>
    <row r="1" spans="1:28" ht="66.75" customHeight="1">
      <c r="A1" s="51"/>
      <c r="B1" s="46"/>
      <c r="C1" s="46"/>
      <c r="D1" s="46"/>
      <c r="E1" s="1"/>
      <c r="F1" s="52" t="s">
        <v>0</v>
      </c>
      <c r="G1" s="53"/>
      <c r="H1" s="53"/>
      <c r="I1" s="53"/>
      <c r="J1" s="5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5">
      <c r="A2" s="52" t="s">
        <v>42</v>
      </c>
      <c r="B2" s="53"/>
      <c r="C2" s="53"/>
      <c r="D2" s="53"/>
      <c r="E2" s="1"/>
      <c r="F2" s="3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5">
      <c r="A3" s="53"/>
      <c r="B3" s="53"/>
      <c r="C3" s="53"/>
      <c r="D3" s="53"/>
      <c r="E3" s="1"/>
      <c r="F3" s="5" t="s">
        <v>46</v>
      </c>
      <c r="G3" s="2">
        <v>80</v>
      </c>
      <c r="H3" s="6">
        <v>40</v>
      </c>
      <c r="I3" s="7">
        <f t="shared" ref="I3:I7" si="0">G3*H3</f>
        <v>3200</v>
      </c>
      <c r="J3" s="6">
        <f>I3*D8</f>
        <v>640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5">
      <c r="A4" s="54" t="s">
        <v>43</v>
      </c>
      <c r="B4" s="55"/>
      <c r="C4" s="55"/>
      <c r="D4" s="56"/>
      <c r="E4" s="1"/>
      <c r="F4" s="37" t="s">
        <v>41</v>
      </c>
      <c r="G4" s="2">
        <v>12</v>
      </c>
      <c r="H4" s="6">
        <v>40</v>
      </c>
      <c r="I4" s="7">
        <f t="shared" si="0"/>
        <v>480</v>
      </c>
      <c r="J4" s="6">
        <f>I4*C8</f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5">
      <c r="A5" s="57" t="s">
        <v>44</v>
      </c>
      <c r="B5" s="58"/>
      <c r="C5" s="58"/>
      <c r="D5" s="59"/>
      <c r="E5" s="1"/>
      <c r="F5" s="37" t="s">
        <v>47</v>
      </c>
      <c r="G5" s="2">
        <v>8</v>
      </c>
      <c r="H5" s="6">
        <v>40</v>
      </c>
      <c r="I5" s="7">
        <f t="shared" si="0"/>
        <v>320</v>
      </c>
      <c r="J5" s="6">
        <f>I5*B8</f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5">
      <c r="A6" s="27" t="s">
        <v>30</v>
      </c>
      <c r="B6" s="38" t="s">
        <v>45</v>
      </c>
      <c r="C6" s="39"/>
      <c r="D6" s="40"/>
      <c r="E6" s="1"/>
      <c r="F6" s="16"/>
      <c r="G6" s="2"/>
      <c r="H6" s="6"/>
      <c r="I6" s="7">
        <f t="shared" si="0"/>
        <v>0</v>
      </c>
      <c r="J6" s="6">
        <f>I6*B21</f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5">
      <c r="A7" s="28" t="s">
        <v>13</v>
      </c>
      <c r="B7" s="16"/>
      <c r="C7" s="19"/>
      <c r="D7" s="19" t="s">
        <v>48</v>
      </c>
      <c r="F7" s="17"/>
      <c r="G7" s="2"/>
      <c r="H7" s="6"/>
      <c r="I7" s="7">
        <f t="shared" si="0"/>
        <v>0</v>
      </c>
      <c r="J7" s="6">
        <f>I7*C16</f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5">
      <c r="A8" s="29" t="s">
        <v>6</v>
      </c>
      <c r="B8" s="9"/>
      <c r="C8" s="10"/>
      <c r="D8" s="9">
        <v>0.2</v>
      </c>
      <c r="F8" s="20" t="s">
        <v>32</v>
      </c>
      <c r="G8" s="21">
        <f t="shared" ref="G8" si="1">SUM(G3:G7)</f>
        <v>100</v>
      </c>
      <c r="H8" s="20"/>
      <c r="I8" s="23">
        <f t="shared" ref="I8:J8" si="2">SUM(I3:I7)</f>
        <v>4000</v>
      </c>
      <c r="J8" s="20">
        <f t="shared" si="2"/>
        <v>640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5">
      <c r="A9" s="11"/>
      <c r="B9" s="22"/>
      <c r="C9" s="22"/>
      <c r="D9" s="22">
        <f>35*D8</f>
        <v>7</v>
      </c>
      <c r="F9" s="3" t="s">
        <v>2</v>
      </c>
      <c r="G9" s="4" t="s">
        <v>3</v>
      </c>
      <c r="H9" s="4" t="s">
        <v>4</v>
      </c>
      <c r="I9" s="4" t="s">
        <v>5</v>
      </c>
      <c r="J9" s="4" t="s">
        <v>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5">
      <c r="A10" s="28" t="s">
        <v>30</v>
      </c>
      <c r="B10" s="38"/>
      <c r="C10" s="39"/>
      <c r="D10" s="40"/>
      <c r="F10" s="18" t="s">
        <v>7</v>
      </c>
      <c r="G10" s="2">
        <v>8</v>
      </c>
      <c r="H10" s="6">
        <v>25</v>
      </c>
      <c r="I10" s="7">
        <f t="shared" ref="I10:I14" si="3">G10*H10</f>
        <v>200</v>
      </c>
      <c r="J10" s="6">
        <f>I10*D12</f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5">
      <c r="A11" s="30" t="s">
        <v>13</v>
      </c>
      <c r="B11" s="19"/>
      <c r="C11" s="19"/>
      <c r="D11" s="19"/>
      <c r="F11" s="18" t="s">
        <v>35</v>
      </c>
      <c r="G11" s="2">
        <v>3</v>
      </c>
      <c r="H11" s="6">
        <v>20</v>
      </c>
      <c r="I11" s="7">
        <f t="shared" si="3"/>
        <v>60</v>
      </c>
      <c r="J11" s="6">
        <f>I11*C12</f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5">
      <c r="A12" s="31" t="s">
        <v>6</v>
      </c>
      <c r="B12" s="9"/>
      <c r="C12" s="10"/>
      <c r="D12" s="9"/>
      <c r="F12" s="16" t="s">
        <v>8</v>
      </c>
      <c r="G12" s="2">
        <v>2</v>
      </c>
      <c r="H12" s="6">
        <v>15</v>
      </c>
      <c r="I12" s="7">
        <f t="shared" si="3"/>
        <v>30</v>
      </c>
      <c r="J12" s="6">
        <f>I12*B12</f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5">
      <c r="B13" s="22"/>
      <c r="C13" s="22"/>
      <c r="D13" s="22"/>
      <c r="F13" s="16"/>
      <c r="G13" s="2"/>
      <c r="H13" s="6"/>
      <c r="I13" s="7">
        <f t="shared" si="3"/>
        <v>0</v>
      </c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5">
      <c r="A14" s="30"/>
      <c r="B14" s="44"/>
      <c r="C14" s="42"/>
      <c r="D14" s="43"/>
      <c r="F14" s="17"/>
      <c r="G14" s="2"/>
      <c r="H14" s="6"/>
      <c r="I14" s="7">
        <f t="shared" si="3"/>
        <v>0</v>
      </c>
      <c r="J14" s="6">
        <f>I14*C23</f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5">
      <c r="A15" s="30"/>
      <c r="B15" s="8"/>
      <c r="C15" s="8"/>
      <c r="D15" s="8"/>
      <c r="F15" s="20" t="s">
        <v>33</v>
      </c>
      <c r="G15" s="21">
        <f t="shared" ref="G15" si="4">SUM(G10:G14)</f>
        <v>13</v>
      </c>
      <c r="H15" s="20"/>
      <c r="I15" s="23">
        <f t="shared" ref="I15:J15" si="5">SUM(I10:I14)</f>
        <v>290</v>
      </c>
      <c r="J15" s="20">
        <f t="shared" si="5"/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5">
      <c r="A16" s="31"/>
      <c r="B16" s="9"/>
      <c r="C16" s="10"/>
      <c r="D16" s="9"/>
      <c r="I16" s="24" t="s">
        <v>6</v>
      </c>
      <c r="J16" s="24">
        <f>(J15*4)+J8</f>
        <v>640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5">
      <c r="A17" s="32"/>
      <c r="B17" s="22"/>
      <c r="C17" s="22"/>
      <c r="D17" s="22"/>
      <c r="F17" s="16"/>
      <c r="G17" s="12"/>
      <c r="H17" s="12"/>
      <c r="I17" s="24" t="s">
        <v>15</v>
      </c>
      <c r="J17" s="34">
        <f>J16+1412</f>
        <v>2052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3.5">
      <c r="F18" s="16"/>
      <c r="G18" s="12"/>
      <c r="H18" s="12"/>
      <c r="I18" s="5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5">
      <c r="A19" s="30"/>
      <c r="B19" s="44"/>
      <c r="C19" s="42"/>
      <c r="D19" s="43"/>
      <c r="F19" s="16"/>
      <c r="G19" s="12"/>
      <c r="H19" s="12"/>
      <c r="I19" s="5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5">
      <c r="A20" s="30"/>
      <c r="B20" s="8"/>
      <c r="C20" s="8"/>
      <c r="D20" s="8"/>
      <c r="F20" s="16"/>
      <c r="G20" s="12"/>
      <c r="H20" s="12"/>
      <c r="I20" s="5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5">
      <c r="A21" s="31"/>
      <c r="B21" s="10"/>
      <c r="C21" s="10"/>
      <c r="D21" s="9"/>
      <c r="F21" s="17"/>
      <c r="G21" s="12"/>
      <c r="H21" s="12"/>
      <c r="I21" s="5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5">
      <c r="A22" s="32"/>
      <c r="B22" s="22"/>
      <c r="C22" s="22"/>
      <c r="D22" s="22"/>
      <c r="F22" s="2"/>
      <c r="I22" s="25"/>
      <c r="J22" s="2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5">
      <c r="A23" s="2"/>
      <c r="B23" s="2"/>
      <c r="C23" s="2"/>
      <c r="D23" s="2"/>
      <c r="F23" s="4"/>
      <c r="G23" s="4"/>
      <c r="H23" s="4"/>
      <c r="I23" s="4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5">
      <c r="A24" s="45" t="s">
        <v>16</v>
      </c>
      <c r="B24" s="46"/>
      <c r="C24" s="46"/>
      <c r="D24" s="46"/>
      <c r="F24" s="16"/>
      <c r="G24" s="12"/>
      <c r="H24" s="12"/>
      <c r="I24" s="5"/>
      <c r="J24" s="1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5">
      <c r="A25" s="47" t="s">
        <v>17</v>
      </c>
      <c r="B25" s="48"/>
      <c r="C25" s="48"/>
      <c r="D25" s="49"/>
      <c r="F25" s="16"/>
      <c r="G25" s="12"/>
      <c r="H25" s="12"/>
      <c r="I25" s="5"/>
      <c r="J25" s="1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3.5">
      <c r="A26" s="15" t="s">
        <v>18</v>
      </c>
      <c r="B26" s="41" t="s">
        <v>19</v>
      </c>
      <c r="C26" s="42"/>
      <c r="D26" s="43"/>
      <c r="F26" s="16"/>
      <c r="G26" s="12"/>
      <c r="H26" s="12"/>
      <c r="I26" s="5"/>
      <c r="J26" s="1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2.75" customHeight="1">
      <c r="A27" s="15" t="s">
        <v>20</v>
      </c>
      <c r="B27" s="50" t="s">
        <v>21</v>
      </c>
      <c r="C27" s="42"/>
      <c r="D27" s="43"/>
      <c r="F27" s="16"/>
      <c r="G27" s="12"/>
      <c r="H27" s="12"/>
      <c r="I27" s="5"/>
      <c r="J27" s="1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.5">
      <c r="A28" s="15" t="s">
        <v>22</v>
      </c>
      <c r="B28" s="41" t="s">
        <v>23</v>
      </c>
      <c r="C28" s="42"/>
      <c r="D28" s="43"/>
      <c r="F28" s="17"/>
      <c r="G28" s="12"/>
      <c r="H28" s="12"/>
      <c r="I28" s="5"/>
      <c r="J28" s="1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" customHeight="1">
      <c r="A29" s="15" t="s">
        <v>24</v>
      </c>
      <c r="B29" s="41" t="s">
        <v>25</v>
      </c>
      <c r="C29" s="42"/>
      <c r="D29" s="43"/>
      <c r="I29" s="25"/>
      <c r="J29" s="2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5">
      <c r="A30" s="15" t="s">
        <v>26</v>
      </c>
      <c r="B30" s="41" t="s">
        <v>27</v>
      </c>
      <c r="C30" s="42"/>
      <c r="D30" s="43"/>
      <c r="F30" s="4"/>
      <c r="G30" s="4"/>
      <c r="H30" s="4"/>
      <c r="I30" s="26"/>
      <c r="J30" s="2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.5">
      <c r="A31" s="15" t="s">
        <v>28</v>
      </c>
      <c r="B31" s="41" t="s">
        <v>29</v>
      </c>
      <c r="C31" s="42"/>
      <c r="D31" s="43"/>
      <c r="F31" s="16"/>
      <c r="G31" s="12"/>
      <c r="H31" s="12"/>
      <c r="I31" s="5"/>
      <c r="J31" s="1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.5">
      <c r="F32" s="16"/>
      <c r="G32" s="12"/>
      <c r="H32" s="12"/>
      <c r="I32" s="5"/>
      <c r="J32" s="1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.5">
      <c r="F33" s="16"/>
      <c r="G33" s="12"/>
      <c r="H33" s="12"/>
      <c r="I33" s="5"/>
      <c r="J33" s="1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.5">
      <c r="F34" s="16"/>
      <c r="G34" s="12"/>
      <c r="H34" s="12"/>
      <c r="I34" s="5"/>
      <c r="J34" s="1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.5">
      <c r="F35" s="17"/>
      <c r="G35" s="12"/>
      <c r="H35" s="12"/>
      <c r="I35" s="5"/>
      <c r="J35" s="1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5">
      <c r="I36" s="25"/>
      <c r="J36" s="2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3.5">
      <c r="A37" s="2"/>
      <c r="B37" s="2"/>
      <c r="C37" s="2"/>
      <c r="D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3.5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3.5">
      <c r="A39" s="2"/>
      <c r="B39" s="2"/>
      <c r="C39" s="2"/>
      <c r="D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3.5">
      <c r="A40" s="2"/>
      <c r="B40" s="2"/>
      <c r="C40" s="2"/>
      <c r="D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3.5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.5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.5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.5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</sheetData>
  <mergeCells count="17">
    <mergeCell ref="A1:D1"/>
    <mergeCell ref="F1:J1"/>
    <mergeCell ref="A2:D3"/>
    <mergeCell ref="A4:D4"/>
    <mergeCell ref="A5:D5"/>
    <mergeCell ref="B6:D6"/>
    <mergeCell ref="B10:D10"/>
    <mergeCell ref="B29:D29"/>
    <mergeCell ref="B30:D30"/>
    <mergeCell ref="B31:D31"/>
    <mergeCell ref="B14:D14"/>
    <mergeCell ref="B19:D19"/>
    <mergeCell ref="A24:D24"/>
    <mergeCell ref="A25:D25"/>
    <mergeCell ref="B26:D26"/>
    <mergeCell ref="B27:D27"/>
    <mergeCell ref="B28:D28"/>
  </mergeCells>
  <printOptions horizontalCentered="1" gridLines="1"/>
  <pageMargins left="1" right="1" top="1" bottom="1" header="0" footer="0"/>
  <pageSetup paperSize="9" pageOrder="overThenDown" orientation="landscape" cellComments="atEnd"/>
  <rowBreaks count="2" manualBreakCount="2">
    <brk man="1"/>
    <brk id="36" man="1"/>
  </rowBreaks>
  <colBreaks count="2" manualBreakCount="2">
    <brk man="1"/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83"/>
  <sheetViews>
    <sheetView showGridLines="0" zoomScale="90" zoomScaleNormal="90" workbookViewId="0">
      <selection activeCell="K3" sqref="K3"/>
    </sheetView>
  </sheetViews>
  <sheetFormatPr defaultColWidth="12.59765625" defaultRowHeight="15.75" customHeight="1"/>
  <cols>
    <col min="1" max="1" width="29.8984375" customWidth="1"/>
    <col min="2" max="2" width="15" customWidth="1"/>
    <col min="3" max="3" width="21.8984375" customWidth="1"/>
    <col min="4" max="4" width="22.69921875" customWidth="1"/>
    <col min="5" max="5" width="3.59765625" customWidth="1"/>
    <col min="6" max="6" width="21.09765625" customWidth="1"/>
    <col min="7" max="7" width="6.296875" customWidth="1"/>
    <col min="8" max="8" width="10.296875" bestFit="1" customWidth="1"/>
    <col min="9" max="9" width="18" customWidth="1"/>
    <col min="10" max="10" width="14.09765625" bestFit="1" customWidth="1"/>
    <col min="11" max="11" width="13.09765625" bestFit="1" customWidth="1"/>
  </cols>
  <sheetData>
    <row r="1" spans="1:28" ht="66.75" customHeight="1">
      <c r="A1" s="51"/>
      <c r="B1" s="46"/>
      <c r="C1" s="46"/>
      <c r="D1" s="46"/>
      <c r="E1" s="1"/>
      <c r="F1" s="52" t="s">
        <v>51</v>
      </c>
      <c r="G1" s="53"/>
      <c r="H1" s="53"/>
      <c r="I1" s="53"/>
      <c r="J1" s="5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5">
      <c r="A2" s="52" t="s">
        <v>50</v>
      </c>
      <c r="B2" s="53"/>
      <c r="C2" s="53"/>
      <c r="D2" s="53"/>
      <c r="E2" s="1"/>
      <c r="F2" s="3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5">
      <c r="A3" s="53"/>
      <c r="B3" s="53"/>
      <c r="C3" s="53"/>
      <c r="D3" s="53"/>
      <c r="E3" s="1"/>
      <c r="F3" s="18" t="s">
        <v>7</v>
      </c>
      <c r="G3" s="2">
        <v>80</v>
      </c>
      <c r="H3" s="6">
        <v>35</v>
      </c>
      <c r="I3" s="7">
        <f>G3*H3</f>
        <v>2800</v>
      </c>
      <c r="J3" s="6">
        <f>I3*D8</f>
        <v>1680</v>
      </c>
      <c r="K3" s="33">
        <f>J3+1600</f>
        <v>3280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5">
      <c r="A4" s="54" t="s">
        <v>39</v>
      </c>
      <c r="B4" s="55"/>
      <c r="C4" s="55"/>
      <c r="D4" s="56"/>
      <c r="E4" s="1"/>
      <c r="F4" s="16"/>
      <c r="G4" s="2">
        <v>60</v>
      </c>
      <c r="H4" s="6">
        <v>35</v>
      </c>
      <c r="I4" s="7">
        <f t="shared" ref="I4:I7" si="0">G4*H4</f>
        <v>2100</v>
      </c>
      <c r="J4" s="6">
        <f>I4*C8</f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5">
      <c r="A5" s="57" t="s">
        <v>40</v>
      </c>
      <c r="B5" s="58"/>
      <c r="C5" s="58"/>
      <c r="D5" s="59"/>
      <c r="E5" s="1"/>
      <c r="F5" s="16"/>
      <c r="G5" s="2">
        <v>40</v>
      </c>
      <c r="H5" s="6">
        <v>35</v>
      </c>
      <c r="I5" s="7">
        <f t="shared" si="0"/>
        <v>1400</v>
      </c>
      <c r="J5" s="6">
        <f>I5*B8</f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5">
      <c r="A6" s="27" t="s">
        <v>30</v>
      </c>
      <c r="B6" s="38" t="s">
        <v>31</v>
      </c>
      <c r="C6" s="39"/>
      <c r="D6" s="40"/>
      <c r="E6" s="1"/>
      <c r="F6" s="16"/>
      <c r="G6" s="2"/>
      <c r="H6" s="6"/>
      <c r="I6" s="7">
        <f t="shared" si="0"/>
        <v>0</v>
      </c>
      <c r="J6" s="6">
        <f>I6*B21</f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5">
      <c r="A7" s="28" t="s">
        <v>13</v>
      </c>
      <c r="B7" s="16"/>
      <c r="C7" s="19"/>
      <c r="D7" s="19" t="s">
        <v>49</v>
      </c>
      <c r="F7" s="17"/>
      <c r="G7" s="2"/>
      <c r="H7" s="6"/>
      <c r="I7" s="7">
        <f t="shared" si="0"/>
        <v>0</v>
      </c>
      <c r="J7" s="6">
        <f>I7*C16</f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5">
      <c r="A8" s="29" t="s">
        <v>6</v>
      </c>
      <c r="B8" s="9"/>
      <c r="C8" s="9"/>
      <c r="D8" s="9">
        <v>0.6</v>
      </c>
      <c r="F8" s="20" t="s">
        <v>32</v>
      </c>
      <c r="G8" s="21">
        <f t="shared" ref="G8" si="1">SUM(G3:G7)</f>
        <v>180</v>
      </c>
      <c r="H8" s="20"/>
      <c r="I8" s="23">
        <f t="shared" ref="I8" si="2">SUM(I3:I7)</f>
        <v>6300</v>
      </c>
      <c r="J8" s="20">
        <f>SUM(J3:J7)</f>
        <v>1680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5">
      <c r="A9" s="11"/>
      <c r="B9" s="22"/>
      <c r="C9" s="22"/>
      <c r="D9" s="22">
        <f>35*D8</f>
        <v>21</v>
      </c>
      <c r="F9" s="3" t="s">
        <v>2</v>
      </c>
      <c r="G9" s="4" t="s">
        <v>3</v>
      </c>
      <c r="H9" s="4" t="s">
        <v>4</v>
      </c>
      <c r="I9" s="4" t="s">
        <v>5</v>
      </c>
      <c r="J9" s="4" t="s">
        <v>6</v>
      </c>
      <c r="K9" s="2"/>
      <c r="L9" s="2">
        <f>75*20</f>
        <v>1500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5">
      <c r="A10" s="28" t="s">
        <v>30</v>
      </c>
      <c r="B10" s="38"/>
      <c r="C10" s="39"/>
      <c r="D10" s="40"/>
      <c r="F10" s="18" t="s">
        <v>7</v>
      </c>
      <c r="G10" s="2">
        <v>8</v>
      </c>
      <c r="H10" s="6">
        <v>25</v>
      </c>
      <c r="I10" s="7">
        <f t="shared" ref="I10:I14" si="3">G10*H10</f>
        <v>200</v>
      </c>
      <c r="J10" s="6">
        <f>I10*D12</f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5">
      <c r="A11" s="30" t="s">
        <v>13</v>
      </c>
      <c r="B11" s="8"/>
      <c r="C11" s="8"/>
      <c r="D11" s="8"/>
      <c r="F11" s="16" t="s">
        <v>8</v>
      </c>
      <c r="G11" s="2">
        <v>10</v>
      </c>
      <c r="H11" s="6">
        <v>20</v>
      </c>
      <c r="I11" s="7">
        <f t="shared" si="3"/>
        <v>200</v>
      </c>
      <c r="J11" s="6">
        <f>I11*C12</f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5">
      <c r="A12" s="31" t="s">
        <v>6</v>
      </c>
      <c r="B12" s="9"/>
      <c r="C12" s="10"/>
      <c r="D12" s="9"/>
      <c r="F12" s="16" t="s">
        <v>10</v>
      </c>
      <c r="G12" s="2">
        <v>4</v>
      </c>
      <c r="H12" s="6">
        <v>15</v>
      </c>
      <c r="I12" s="7">
        <f t="shared" si="3"/>
        <v>60</v>
      </c>
      <c r="J12" s="6">
        <f>I12*B12</f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5">
      <c r="B13" s="22"/>
      <c r="C13" s="22"/>
      <c r="D13" s="22"/>
      <c r="F13" s="16"/>
      <c r="G13" s="2"/>
      <c r="H13" s="6"/>
      <c r="I13" s="7">
        <f t="shared" si="3"/>
        <v>0</v>
      </c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5">
      <c r="A14" s="30"/>
      <c r="B14" s="44"/>
      <c r="C14" s="42"/>
      <c r="D14" s="43"/>
      <c r="F14" s="17"/>
      <c r="G14" s="2"/>
      <c r="H14" s="6"/>
      <c r="I14" s="7">
        <f t="shared" si="3"/>
        <v>0</v>
      </c>
      <c r="J14" s="6">
        <f>I14*C23</f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5">
      <c r="A15" s="30"/>
      <c r="B15" s="8"/>
      <c r="C15" s="8"/>
      <c r="D15" s="8"/>
      <c r="F15" s="20" t="s">
        <v>33</v>
      </c>
      <c r="G15" s="21">
        <f t="shared" ref="G15" si="4">SUM(G10:G14)</f>
        <v>22</v>
      </c>
      <c r="H15" s="20"/>
      <c r="I15" s="23">
        <f t="shared" ref="I15:J15" si="5">SUM(I10:I14)</f>
        <v>460</v>
      </c>
      <c r="J15" s="20">
        <f t="shared" si="5"/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5">
      <c r="A16" s="31"/>
      <c r="B16" s="10"/>
      <c r="C16" s="10"/>
      <c r="D16" s="10"/>
      <c r="I16" s="24" t="s">
        <v>34</v>
      </c>
      <c r="J16" s="24">
        <f>(J15*4)+J8</f>
        <v>1680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5">
      <c r="A17" s="32"/>
      <c r="B17" s="22"/>
      <c r="C17" s="22"/>
      <c r="D17" s="22"/>
      <c r="F17" s="2"/>
      <c r="G17" s="2"/>
      <c r="H17" s="2"/>
      <c r="I17" s="24" t="s">
        <v>15</v>
      </c>
      <c r="J17" s="24">
        <f>J16+1412</f>
        <v>3092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3.5"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5">
      <c r="A19" s="30"/>
      <c r="B19" s="44"/>
      <c r="C19" s="42"/>
      <c r="D19" s="4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5">
      <c r="A20" s="30"/>
      <c r="B20" s="8"/>
      <c r="C20" s="8"/>
      <c r="D20" s="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5">
      <c r="A21" s="31"/>
      <c r="B21" s="10"/>
      <c r="C21" s="10"/>
      <c r="D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5">
      <c r="A22" s="32"/>
      <c r="B22" s="22"/>
      <c r="C22" s="22"/>
      <c r="D22" s="2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3.5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5">
      <c r="A24" s="45" t="s">
        <v>16</v>
      </c>
      <c r="B24" s="46"/>
      <c r="C24" s="46"/>
      <c r="D24" s="4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5">
      <c r="A25" s="60" t="s">
        <v>17</v>
      </c>
      <c r="B25" s="61"/>
      <c r="C25" s="61"/>
      <c r="D25" s="6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3.5">
      <c r="A26" s="15" t="s">
        <v>18</v>
      </c>
      <c r="B26" s="41" t="s">
        <v>19</v>
      </c>
      <c r="C26" s="42"/>
      <c r="D26" s="4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2.75" customHeight="1">
      <c r="A27" s="15" t="s">
        <v>20</v>
      </c>
      <c r="B27" s="50" t="s">
        <v>21</v>
      </c>
      <c r="C27" s="42"/>
      <c r="D27" s="4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.5">
      <c r="A28" s="15" t="s">
        <v>22</v>
      </c>
      <c r="B28" s="41" t="s">
        <v>23</v>
      </c>
      <c r="C28" s="42"/>
      <c r="D28" s="4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 customHeight="1">
      <c r="A29" s="15" t="s">
        <v>24</v>
      </c>
      <c r="B29" s="41" t="s">
        <v>25</v>
      </c>
      <c r="C29" s="42"/>
      <c r="D29" s="4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3.5">
      <c r="A30" s="15" t="s">
        <v>26</v>
      </c>
      <c r="B30" s="41" t="s">
        <v>27</v>
      </c>
      <c r="C30" s="42"/>
      <c r="D30" s="4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.5">
      <c r="A31" s="15" t="s">
        <v>28</v>
      </c>
      <c r="B31" s="41" t="s">
        <v>29</v>
      </c>
      <c r="C31" s="42"/>
      <c r="D31" s="4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.5"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.5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.5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.5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3.5">
      <c r="A36" s="2"/>
      <c r="B36" s="2"/>
      <c r="C36" s="2"/>
      <c r="D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3.5">
      <c r="A37" s="2"/>
      <c r="B37" s="2"/>
      <c r="C37" s="2"/>
      <c r="D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3.5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3.5">
      <c r="A39" s="2"/>
      <c r="B39" s="2"/>
      <c r="C39" s="2"/>
      <c r="D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3.5">
      <c r="A40" s="2"/>
      <c r="B40" s="2"/>
      <c r="C40" s="2"/>
      <c r="D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3.5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.5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.5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.5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.5">
      <c r="A964" s="2"/>
      <c r="B964" s="2"/>
      <c r="C964" s="2"/>
      <c r="D964" s="2"/>
      <c r="E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.5">
      <c r="A965" s="2"/>
      <c r="B965" s="2"/>
      <c r="C965" s="2"/>
      <c r="D965" s="2"/>
      <c r="E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.5">
      <c r="A966" s="2"/>
      <c r="B966" s="2"/>
      <c r="C966" s="2"/>
      <c r="D966" s="2"/>
      <c r="E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.5">
      <c r="A967" s="2"/>
      <c r="B967" s="2"/>
      <c r="C967" s="2"/>
      <c r="D967" s="2"/>
      <c r="E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.5">
      <c r="A968" s="2"/>
      <c r="B968" s="2"/>
      <c r="C968" s="2"/>
      <c r="D968" s="2"/>
      <c r="E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.5">
      <c r="A969" s="2"/>
      <c r="B969" s="2"/>
      <c r="C969" s="2"/>
      <c r="D969" s="2"/>
      <c r="E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.5">
      <c r="A970" s="2"/>
      <c r="B970" s="2"/>
      <c r="C970" s="2"/>
      <c r="D970" s="2"/>
      <c r="E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.5">
      <c r="A971" s="2"/>
      <c r="B971" s="2"/>
      <c r="C971" s="2"/>
      <c r="D971" s="2"/>
      <c r="E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.5">
      <c r="A972" s="2"/>
      <c r="B972" s="2"/>
      <c r="C972" s="2"/>
      <c r="D972" s="2"/>
      <c r="E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.5">
      <c r="A973" s="2"/>
      <c r="B973" s="2"/>
      <c r="C973" s="2"/>
      <c r="D973" s="2"/>
      <c r="E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.5">
      <c r="A974" s="2"/>
      <c r="B974" s="2"/>
      <c r="C974" s="2"/>
      <c r="D974" s="2"/>
      <c r="E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.5">
      <c r="A975" s="2"/>
      <c r="B975" s="2"/>
      <c r="C975" s="2"/>
      <c r="D975" s="2"/>
      <c r="E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.5">
      <c r="A976" s="2"/>
      <c r="B976" s="2"/>
      <c r="C976" s="2"/>
      <c r="D976" s="2"/>
      <c r="E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.5">
      <c r="A977" s="2"/>
      <c r="B977" s="2"/>
      <c r="C977" s="2"/>
      <c r="D977" s="2"/>
      <c r="E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.5">
      <c r="A978" s="2"/>
      <c r="B978" s="2"/>
      <c r="C978" s="2"/>
      <c r="D978" s="2"/>
      <c r="E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.5">
      <c r="A979" s="2"/>
      <c r="B979" s="2"/>
      <c r="C979" s="2"/>
      <c r="D979" s="2"/>
      <c r="E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.5">
      <c r="A980" s="2"/>
      <c r="B980" s="2"/>
      <c r="C980" s="2"/>
      <c r="D980" s="2"/>
      <c r="E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.5">
      <c r="A981" s="2"/>
      <c r="B981" s="2"/>
      <c r="C981" s="2"/>
      <c r="D981" s="2"/>
      <c r="E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.5">
      <c r="A982" s="2"/>
      <c r="B982" s="2"/>
      <c r="C982" s="2"/>
      <c r="D982" s="2"/>
      <c r="E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.5">
      <c r="A983" s="2"/>
      <c r="B983" s="2"/>
      <c r="C983" s="2"/>
      <c r="D983" s="2"/>
      <c r="E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</sheetData>
  <mergeCells count="17">
    <mergeCell ref="A1:D1"/>
    <mergeCell ref="F1:J1"/>
    <mergeCell ref="A2:D3"/>
    <mergeCell ref="A4:D4"/>
    <mergeCell ref="A5:D5"/>
    <mergeCell ref="B6:D6"/>
    <mergeCell ref="B10:D10"/>
    <mergeCell ref="B29:D29"/>
    <mergeCell ref="B30:D30"/>
    <mergeCell ref="B31:D31"/>
    <mergeCell ref="B14:D14"/>
    <mergeCell ref="B19:D19"/>
    <mergeCell ref="A24:D24"/>
    <mergeCell ref="A25:D25"/>
    <mergeCell ref="B26:D26"/>
    <mergeCell ref="B27:D27"/>
    <mergeCell ref="B28:D28"/>
  </mergeCells>
  <printOptions horizontalCentered="1" gridLines="1"/>
  <pageMargins left="1" right="1" top="1" bottom="1" header="0" footer="0"/>
  <pageSetup paperSize="9" pageOrder="overThenDown" orientation="landscape" cellComments="atEnd"/>
  <rowBreaks count="1" manualBreakCount="1">
    <brk id="36" man="1"/>
  </rowBreaks>
  <colBreaks count="1" manualBreakCount="1">
    <brk id="1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983"/>
  <sheetViews>
    <sheetView showGridLines="0" zoomScale="82" zoomScaleNormal="82" workbookViewId="0">
      <selection activeCell="A21" sqref="A21"/>
    </sheetView>
  </sheetViews>
  <sheetFormatPr defaultColWidth="12.59765625" defaultRowHeight="15.75" customHeight="1"/>
  <cols>
    <col min="1" max="1" width="33.09765625" customWidth="1"/>
    <col min="2" max="2" width="15" customWidth="1"/>
    <col min="3" max="3" width="23" customWidth="1"/>
    <col min="4" max="4" width="23.59765625" customWidth="1"/>
    <col min="5" max="5" width="4.59765625" customWidth="1"/>
    <col min="6" max="6" width="21.09765625" customWidth="1"/>
    <col min="7" max="7" width="11" customWidth="1"/>
    <col min="8" max="8" width="13.8984375" customWidth="1"/>
    <col min="9" max="9" width="20.69921875" customWidth="1"/>
    <col min="10" max="10" width="17.296875" customWidth="1"/>
  </cols>
  <sheetData>
    <row r="1" spans="1:28" ht="66.75" customHeight="1">
      <c r="A1" s="51"/>
      <c r="B1" s="46"/>
      <c r="C1" s="46"/>
      <c r="D1" s="46"/>
      <c r="E1" s="1"/>
      <c r="F1" s="52" t="s">
        <v>0</v>
      </c>
      <c r="G1" s="53"/>
      <c r="H1" s="53"/>
      <c r="I1" s="53"/>
      <c r="J1" s="5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5">
      <c r="A2" s="52" t="s">
        <v>1</v>
      </c>
      <c r="B2" s="53"/>
      <c r="C2" s="53"/>
      <c r="D2" s="53"/>
      <c r="E2" s="1"/>
      <c r="F2" s="3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5">
      <c r="A3" s="53"/>
      <c r="B3" s="53"/>
      <c r="C3" s="53"/>
      <c r="D3" s="53"/>
      <c r="E3" s="1"/>
      <c r="F3" s="18" t="s">
        <v>7</v>
      </c>
      <c r="G3" s="2">
        <v>200</v>
      </c>
      <c r="H3" s="6">
        <f>C9</f>
        <v>0</v>
      </c>
      <c r="I3" s="7">
        <f>G3*H3</f>
        <v>0</v>
      </c>
      <c r="J3" s="6">
        <f>I3*D8</f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5">
      <c r="A4" s="54" t="s">
        <v>38</v>
      </c>
      <c r="B4" s="55"/>
      <c r="C4" s="55"/>
      <c r="D4" s="56"/>
      <c r="E4" s="1"/>
      <c r="F4" s="16" t="s">
        <v>8</v>
      </c>
      <c r="G4" s="2">
        <v>150</v>
      </c>
      <c r="H4" s="6">
        <v>29.9</v>
      </c>
      <c r="I4" s="7">
        <f t="shared" ref="I4:I7" si="0">G4*H4</f>
        <v>4485</v>
      </c>
      <c r="J4" s="6">
        <f>I4*C8</f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5">
      <c r="A5" s="57" t="s">
        <v>9</v>
      </c>
      <c r="B5" s="58"/>
      <c r="C5" s="58"/>
      <c r="D5" s="59"/>
      <c r="E5" s="1"/>
      <c r="F5" s="16" t="s">
        <v>10</v>
      </c>
      <c r="G5" s="2">
        <v>150</v>
      </c>
      <c r="H5" s="6">
        <v>29.9</v>
      </c>
      <c r="I5" s="7">
        <f t="shared" si="0"/>
        <v>4485</v>
      </c>
      <c r="J5" s="6">
        <f>I5*B8</f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5">
      <c r="A6" s="27" t="s">
        <v>11</v>
      </c>
      <c r="B6" s="38" t="s">
        <v>12</v>
      </c>
      <c r="C6" s="39"/>
      <c r="D6" s="40"/>
      <c r="E6" s="1"/>
      <c r="F6" s="16"/>
      <c r="G6" s="2"/>
      <c r="H6" s="6"/>
      <c r="I6" s="7">
        <f t="shared" si="0"/>
        <v>0</v>
      </c>
      <c r="J6" s="6">
        <f>I6*B21</f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5">
      <c r="A7" s="28" t="s">
        <v>13</v>
      </c>
      <c r="B7" s="16"/>
      <c r="C7" s="19"/>
      <c r="D7" s="19" t="s">
        <v>48</v>
      </c>
      <c r="F7" s="17"/>
      <c r="G7" s="2"/>
      <c r="H7" s="6"/>
      <c r="I7" s="7">
        <f t="shared" si="0"/>
        <v>0</v>
      </c>
      <c r="J7" s="6">
        <f>I7*C16</f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5">
      <c r="A8" s="29" t="s">
        <v>6</v>
      </c>
      <c r="B8" s="9"/>
      <c r="C8" s="9"/>
      <c r="D8" s="9">
        <v>0.2</v>
      </c>
      <c r="F8" s="20" t="s">
        <v>14</v>
      </c>
      <c r="G8" s="21">
        <f t="shared" ref="G8" si="1">SUM(G3:G7)</f>
        <v>500</v>
      </c>
      <c r="H8" s="20"/>
      <c r="I8" s="36">
        <f t="shared" ref="I8:J8" si="2">SUM(I3:I7)</f>
        <v>8970</v>
      </c>
      <c r="J8" s="20">
        <f t="shared" si="2"/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5">
      <c r="A9" s="11"/>
      <c r="B9" s="22"/>
      <c r="C9" s="22"/>
      <c r="D9" s="22">
        <f>35*D8</f>
        <v>7</v>
      </c>
      <c r="F9" s="4"/>
      <c r="G9" s="4"/>
      <c r="H9" s="4"/>
      <c r="I9" s="24" t="s">
        <v>15</v>
      </c>
      <c r="J9" s="24">
        <f>J8+2300</f>
        <v>2300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5">
      <c r="A10" s="28"/>
      <c r="B10" s="44"/>
      <c r="C10" s="42"/>
      <c r="D10" s="43"/>
      <c r="F10" s="16"/>
      <c r="G10" s="12"/>
      <c r="H10" s="13"/>
      <c r="I10" s="7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5">
      <c r="A11" s="30"/>
      <c r="B11" s="8"/>
      <c r="C11" s="8"/>
      <c r="D11" s="8"/>
      <c r="F11" s="16"/>
      <c r="G11" s="12"/>
      <c r="H11" s="13"/>
      <c r="I11" s="7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5">
      <c r="A12" s="31"/>
      <c r="B12" s="10"/>
      <c r="C12" s="10"/>
      <c r="D12" s="10"/>
      <c r="F12" s="16"/>
      <c r="G12" s="12"/>
      <c r="H12" s="13"/>
      <c r="I12" s="7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5">
      <c r="B13" s="22"/>
      <c r="C13" s="22"/>
      <c r="D13" s="22"/>
      <c r="F13" s="16"/>
      <c r="G13" s="12"/>
      <c r="H13" s="13"/>
      <c r="I13" s="7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5">
      <c r="A14" s="30"/>
      <c r="B14" s="44"/>
      <c r="C14" s="42"/>
      <c r="D14" s="43"/>
      <c r="F14" s="17"/>
      <c r="G14" s="12"/>
      <c r="H14" s="13"/>
      <c r="I14" s="7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5">
      <c r="A15" s="30"/>
      <c r="B15" s="8"/>
      <c r="C15" s="8"/>
      <c r="D15" s="8"/>
      <c r="F15" s="2"/>
      <c r="I15" s="25"/>
      <c r="J15" s="2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5">
      <c r="A16" s="31"/>
      <c r="B16" s="10"/>
      <c r="C16" s="10"/>
      <c r="D16" s="10"/>
      <c r="F16" s="4"/>
      <c r="G16" s="4"/>
      <c r="H16" s="4"/>
      <c r="I16" s="4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5">
      <c r="A17" s="32"/>
      <c r="B17" s="22"/>
      <c r="C17" s="22"/>
      <c r="D17" s="22"/>
      <c r="F17" s="16"/>
      <c r="G17" s="12"/>
      <c r="H17" s="13"/>
      <c r="I17" s="7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3.5">
      <c r="F18" s="16"/>
      <c r="G18" s="12"/>
      <c r="H18" s="13"/>
      <c r="I18" s="7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5">
      <c r="A19" s="30"/>
      <c r="B19" s="44"/>
      <c r="C19" s="42"/>
      <c r="D19" s="43"/>
      <c r="F19" s="16"/>
      <c r="G19" s="12"/>
      <c r="H19" s="13"/>
      <c r="I19" s="7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5">
      <c r="A20" s="30"/>
      <c r="B20" s="8"/>
      <c r="C20" s="8"/>
      <c r="D20" s="8"/>
      <c r="F20" s="16"/>
      <c r="G20" s="12"/>
      <c r="H20" s="13"/>
      <c r="I20" s="7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5">
      <c r="A21" s="31"/>
      <c r="B21" s="10"/>
      <c r="C21" s="10"/>
      <c r="D21" s="10"/>
      <c r="F21" s="17"/>
      <c r="G21" s="12"/>
      <c r="H21" s="13"/>
      <c r="I21" s="7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5">
      <c r="A22" s="32"/>
      <c r="B22" s="22"/>
      <c r="C22" s="22"/>
      <c r="D22" s="22"/>
      <c r="F22" s="2"/>
      <c r="I22" s="25"/>
      <c r="J22" s="2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5">
      <c r="F23" s="4"/>
      <c r="G23" s="4"/>
      <c r="H23" s="4"/>
      <c r="I23" s="4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5">
      <c r="A24" s="45" t="s">
        <v>16</v>
      </c>
      <c r="B24" s="46"/>
      <c r="C24" s="46"/>
      <c r="D24" s="46"/>
      <c r="F24" s="16"/>
      <c r="G24" s="12"/>
      <c r="H24" s="13"/>
      <c r="I24" s="7"/>
      <c r="J24" s="1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5">
      <c r="A25" s="47" t="s">
        <v>17</v>
      </c>
      <c r="B25" s="48"/>
      <c r="C25" s="48"/>
      <c r="D25" s="49"/>
      <c r="F25" s="16"/>
      <c r="G25" s="12"/>
      <c r="H25" s="13"/>
      <c r="I25" s="7"/>
      <c r="J25" s="1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3.5">
      <c r="A26" s="15" t="s">
        <v>18</v>
      </c>
      <c r="B26" s="41" t="s">
        <v>19</v>
      </c>
      <c r="C26" s="42"/>
      <c r="D26" s="43"/>
      <c r="F26" s="16"/>
      <c r="G26" s="12"/>
      <c r="H26" s="13"/>
      <c r="I26" s="7"/>
      <c r="J26" s="1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3.5">
      <c r="A27" s="15" t="s">
        <v>20</v>
      </c>
      <c r="B27" s="50" t="s">
        <v>21</v>
      </c>
      <c r="C27" s="42"/>
      <c r="D27" s="43"/>
      <c r="F27" s="16"/>
      <c r="G27" s="12"/>
      <c r="H27" s="13"/>
      <c r="I27" s="7"/>
      <c r="J27" s="1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.5">
      <c r="A28" s="15" t="s">
        <v>22</v>
      </c>
      <c r="B28" s="41" t="s">
        <v>23</v>
      </c>
      <c r="C28" s="42"/>
      <c r="D28" s="43"/>
      <c r="F28" s="17"/>
      <c r="G28" s="12"/>
      <c r="H28" s="13"/>
      <c r="I28" s="7"/>
      <c r="J28" s="1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5">
      <c r="A29" s="15" t="s">
        <v>24</v>
      </c>
      <c r="B29" s="41" t="s">
        <v>25</v>
      </c>
      <c r="C29" s="42"/>
      <c r="D29" s="43"/>
      <c r="I29" s="25"/>
      <c r="J29" s="2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3.5">
      <c r="A30" s="15" t="s">
        <v>26</v>
      </c>
      <c r="B30" s="41" t="s">
        <v>27</v>
      </c>
      <c r="C30" s="42"/>
      <c r="D30" s="4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.5">
      <c r="A31" s="15" t="s">
        <v>28</v>
      </c>
      <c r="B31" s="41" t="s">
        <v>29</v>
      </c>
      <c r="C31" s="42"/>
      <c r="D31" s="4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.5">
      <c r="A32" s="2"/>
      <c r="B32" s="2"/>
      <c r="C32" s="2"/>
      <c r="D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.5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.5"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.5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3.5"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3.5">
      <c r="A37" s="2"/>
      <c r="B37" s="2"/>
      <c r="C37" s="2"/>
      <c r="D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5">
      <c r="A38" s="2"/>
      <c r="B38" s="2"/>
      <c r="C38" s="2"/>
      <c r="D38" s="2"/>
      <c r="E38" s="1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5">
      <c r="A39" s="2"/>
      <c r="B39" s="2"/>
      <c r="C39" s="2"/>
      <c r="D39" s="2"/>
      <c r="E39" s="1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5">
      <c r="A40" s="2"/>
      <c r="B40" s="2"/>
      <c r="C40" s="2"/>
      <c r="D40" s="2"/>
      <c r="E40" s="1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5">
      <c r="A41" s="2"/>
      <c r="B41" s="2"/>
      <c r="C41" s="2"/>
      <c r="D41" s="2"/>
      <c r="E41" s="1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5">
      <c r="E42" s="1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5">
      <c r="E43" s="1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5">
      <c r="E44" s="1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</sheetData>
  <mergeCells count="17">
    <mergeCell ref="A1:D1"/>
    <mergeCell ref="F1:J1"/>
    <mergeCell ref="A2:D3"/>
    <mergeCell ref="A4:D4"/>
    <mergeCell ref="A5:D5"/>
    <mergeCell ref="B6:D6"/>
    <mergeCell ref="B10:D10"/>
    <mergeCell ref="B29:D29"/>
    <mergeCell ref="B30:D30"/>
    <mergeCell ref="B31:D31"/>
    <mergeCell ref="B14:D14"/>
    <mergeCell ref="B19:D19"/>
    <mergeCell ref="A24:D24"/>
    <mergeCell ref="A25:D25"/>
    <mergeCell ref="B26:D26"/>
    <mergeCell ref="B27:D27"/>
    <mergeCell ref="B28:D28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83"/>
  <sheetViews>
    <sheetView showGridLines="0" zoomScale="90" zoomScaleNormal="90" workbookViewId="0">
      <selection activeCell="D9" sqref="D9"/>
    </sheetView>
  </sheetViews>
  <sheetFormatPr defaultColWidth="12.59765625" defaultRowHeight="15.75" customHeight="1"/>
  <cols>
    <col min="1" max="1" width="29.8984375" customWidth="1"/>
    <col min="2" max="2" width="15" customWidth="1"/>
    <col min="3" max="3" width="21.8984375" customWidth="1"/>
    <col min="4" max="4" width="22.69921875" customWidth="1"/>
    <col min="5" max="5" width="3.59765625" customWidth="1"/>
    <col min="6" max="6" width="21.09765625" customWidth="1"/>
    <col min="7" max="7" width="6.296875" customWidth="1"/>
    <col min="8" max="8" width="10.296875" bestFit="1" customWidth="1"/>
    <col min="9" max="9" width="18" customWidth="1"/>
    <col min="10" max="10" width="14.09765625" bestFit="1" customWidth="1"/>
  </cols>
  <sheetData>
    <row r="1" spans="1:28" ht="66.75" customHeight="1">
      <c r="A1" s="51"/>
      <c r="B1" s="46"/>
      <c r="C1" s="46"/>
      <c r="D1" s="46"/>
      <c r="E1" s="1"/>
      <c r="F1" s="52" t="s">
        <v>0</v>
      </c>
      <c r="G1" s="53"/>
      <c r="H1" s="53"/>
      <c r="I1" s="53"/>
      <c r="J1" s="5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5">
      <c r="A2" s="52" t="s">
        <v>1</v>
      </c>
      <c r="B2" s="53"/>
      <c r="C2" s="53"/>
      <c r="D2" s="53"/>
      <c r="E2" s="1"/>
      <c r="F2" s="3" t="s">
        <v>2</v>
      </c>
      <c r="G2" s="4" t="s">
        <v>3</v>
      </c>
      <c r="H2" s="4" t="s">
        <v>4</v>
      </c>
      <c r="I2" s="4" t="s">
        <v>36</v>
      </c>
      <c r="J2" s="4" t="s">
        <v>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5">
      <c r="A3" s="53"/>
      <c r="B3" s="53"/>
      <c r="C3" s="53"/>
      <c r="D3" s="53"/>
      <c r="E3" s="1"/>
      <c r="F3" s="18" t="s">
        <v>7</v>
      </c>
      <c r="G3" s="2">
        <v>25</v>
      </c>
      <c r="H3" s="6">
        <v>39.9</v>
      </c>
      <c r="I3" s="7">
        <f>G3*H3</f>
        <v>997.5</v>
      </c>
      <c r="J3" s="6">
        <f>I3*D8</f>
        <v>798</v>
      </c>
      <c r="K3" s="3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5">
      <c r="A4" s="54" t="s">
        <v>52</v>
      </c>
      <c r="B4" s="55"/>
      <c r="C4" s="55"/>
      <c r="D4" s="56"/>
      <c r="E4" s="1"/>
      <c r="F4" s="16" t="s">
        <v>8</v>
      </c>
      <c r="G4" s="2">
        <v>20</v>
      </c>
      <c r="H4" s="6">
        <v>39.9</v>
      </c>
      <c r="I4" s="7">
        <f t="shared" ref="I4:I7" si="0">G4*H4</f>
        <v>798</v>
      </c>
      <c r="J4" s="6">
        <f>I4*C8</f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5">
      <c r="A5" s="57" t="s">
        <v>37</v>
      </c>
      <c r="B5" s="58"/>
      <c r="C5" s="58"/>
      <c r="D5" s="59"/>
      <c r="E5" s="1"/>
      <c r="F5" s="16" t="s">
        <v>10</v>
      </c>
      <c r="G5" s="2">
        <v>20</v>
      </c>
      <c r="H5" s="6">
        <v>29.9</v>
      </c>
      <c r="I5" s="7">
        <f t="shared" si="0"/>
        <v>598</v>
      </c>
      <c r="J5" s="6">
        <f>I5*B8</f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5">
      <c r="A6" s="27" t="s">
        <v>30</v>
      </c>
      <c r="B6" s="38" t="s">
        <v>31</v>
      </c>
      <c r="C6" s="39"/>
      <c r="D6" s="40"/>
      <c r="E6" s="1"/>
      <c r="F6" s="16"/>
      <c r="G6" s="2"/>
      <c r="H6" s="6"/>
      <c r="I6" s="7">
        <f t="shared" si="0"/>
        <v>0</v>
      </c>
      <c r="J6" s="6">
        <f>I6*B21</f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5">
      <c r="A7" s="28" t="s">
        <v>13</v>
      </c>
      <c r="B7" s="35"/>
      <c r="C7" s="35"/>
      <c r="D7" s="35" t="s">
        <v>7</v>
      </c>
      <c r="F7" s="17"/>
      <c r="G7" s="2"/>
      <c r="H7" s="6"/>
      <c r="I7" s="7">
        <f t="shared" si="0"/>
        <v>0</v>
      </c>
      <c r="J7" s="6">
        <f>I7*C16</f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5">
      <c r="A8" s="29" t="s">
        <v>6</v>
      </c>
      <c r="B8" s="9"/>
      <c r="C8" s="9"/>
      <c r="D8" s="9">
        <v>0.8</v>
      </c>
      <c r="F8" s="20" t="s">
        <v>32</v>
      </c>
      <c r="G8" s="21">
        <f t="shared" ref="G8" si="1">SUM(G3:G7)</f>
        <v>65</v>
      </c>
      <c r="H8" s="20"/>
      <c r="I8" s="23">
        <f>SUM(I3:I7)</f>
        <v>2393.5</v>
      </c>
      <c r="J8" s="20">
        <f t="shared" ref="J8" si="2">SUM(J3:J7)</f>
        <v>798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5">
      <c r="A9" s="11"/>
      <c r="B9" s="22"/>
      <c r="C9" s="22"/>
      <c r="D9" s="22">
        <f>H3*D8</f>
        <v>31.92</v>
      </c>
      <c r="F9" s="3" t="s">
        <v>2</v>
      </c>
      <c r="G9" s="4" t="s">
        <v>3</v>
      </c>
      <c r="H9" s="4" t="s">
        <v>4</v>
      </c>
      <c r="I9" s="4" t="s">
        <v>5</v>
      </c>
      <c r="J9" s="4" t="s">
        <v>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5">
      <c r="A10" s="28" t="s">
        <v>30</v>
      </c>
      <c r="B10" s="38"/>
      <c r="C10" s="39"/>
      <c r="D10" s="40"/>
      <c r="F10" s="18" t="s">
        <v>7</v>
      </c>
      <c r="G10" s="2">
        <v>15</v>
      </c>
      <c r="H10" s="6">
        <v>25</v>
      </c>
      <c r="I10" s="7">
        <f t="shared" ref="I10:I14" si="3">G10*H10</f>
        <v>375</v>
      </c>
      <c r="J10" s="6">
        <f>I10*D12</f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5">
      <c r="A11" s="30" t="s">
        <v>13</v>
      </c>
      <c r="B11" s="8"/>
      <c r="C11" s="8"/>
      <c r="D11" s="8"/>
      <c r="F11" s="16" t="s">
        <v>8</v>
      </c>
      <c r="G11" s="2">
        <v>6</v>
      </c>
      <c r="H11" s="6">
        <v>20</v>
      </c>
      <c r="I11" s="7">
        <f t="shared" si="3"/>
        <v>120</v>
      </c>
      <c r="J11" s="6">
        <f>I11*C12</f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5">
      <c r="A12" s="31" t="s">
        <v>6</v>
      </c>
      <c r="B12" s="9"/>
      <c r="C12" s="10"/>
      <c r="D12" s="9"/>
      <c r="F12" s="16" t="s">
        <v>10</v>
      </c>
      <c r="G12" s="2">
        <v>4</v>
      </c>
      <c r="H12" s="6">
        <v>15</v>
      </c>
      <c r="I12" s="7">
        <f t="shared" si="3"/>
        <v>60</v>
      </c>
      <c r="J12" s="6">
        <f>I12*B12</f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5">
      <c r="B13" s="22"/>
      <c r="C13" s="22"/>
      <c r="D13" s="22"/>
      <c r="F13" s="16"/>
      <c r="G13" s="2"/>
      <c r="H13" s="6"/>
      <c r="I13" s="7">
        <f t="shared" si="3"/>
        <v>0</v>
      </c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5">
      <c r="A14" s="30"/>
      <c r="B14" s="44"/>
      <c r="C14" s="42"/>
      <c r="D14" s="43"/>
      <c r="F14" s="17"/>
      <c r="G14" s="2"/>
      <c r="H14" s="6"/>
      <c r="I14" s="7">
        <f t="shared" si="3"/>
        <v>0</v>
      </c>
      <c r="J14" s="6">
        <f>I14*C23</f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5">
      <c r="A15" s="30"/>
      <c r="B15" s="8"/>
      <c r="C15" s="8"/>
      <c r="D15" s="8"/>
      <c r="F15" s="20" t="s">
        <v>33</v>
      </c>
      <c r="G15" s="21">
        <f t="shared" ref="G15" si="4">SUM(G10:G14)</f>
        <v>25</v>
      </c>
      <c r="H15" s="20"/>
      <c r="I15" s="23">
        <f t="shared" ref="I15:J15" si="5">SUM(I10:I14)</f>
        <v>555</v>
      </c>
      <c r="J15" s="20">
        <f t="shared" si="5"/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5">
      <c r="A16" s="31"/>
      <c r="B16" s="10"/>
      <c r="C16" s="10"/>
      <c r="D16" s="10"/>
      <c r="I16" s="24" t="s">
        <v>34</v>
      </c>
      <c r="J16" s="24">
        <f>(J15*4)+J8</f>
        <v>798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5">
      <c r="A17" s="32"/>
      <c r="B17" s="22"/>
      <c r="C17" s="22"/>
      <c r="D17" s="22"/>
      <c r="F17" s="2"/>
      <c r="G17" s="2"/>
      <c r="H17" s="2"/>
      <c r="I17" s="25"/>
      <c r="J17" s="2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3.5"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5">
      <c r="A19" s="30"/>
      <c r="B19" s="44"/>
      <c r="C19" s="42"/>
      <c r="D19" s="43"/>
      <c r="F19" s="52" t="s">
        <v>0</v>
      </c>
      <c r="G19" s="53"/>
      <c r="H19" s="53"/>
      <c r="I19" s="53"/>
      <c r="J19" s="5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5">
      <c r="A20" s="30"/>
      <c r="B20" s="8"/>
      <c r="C20" s="8"/>
      <c r="D20" s="8"/>
      <c r="F20" s="3" t="s">
        <v>2</v>
      </c>
      <c r="G20" s="4" t="s">
        <v>3</v>
      </c>
      <c r="H20" s="4" t="s">
        <v>4</v>
      </c>
      <c r="I20" s="4" t="s">
        <v>36</v>
      </c>
      <c r="J20" s="4" t="s">
        <v>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5">
      <c r="A21" s="31"/>
      <c r="B21" s="10"/>
      <c r="C21" s="10"/>
      <c r="D21" s="10"/>
      <c r="F21" s="18" t="s">
        <v>7</v>
      </c>
      <c r="G21" s="2">
        <v>30</v>
      </c>
      <c r="H21" s="6">
        <v>79.900000000000006</v>
      </c>
      <c r="I21" s="7">
        <f>G21*H21</f>
        <v>2397</v>
      </c>
      <c r="J21" s="6">
        <f>I21*0.6</f>
        <v>1438.2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5">
      <c r="A22" s="32"/>
      <c r="B22" s="22"/>
      <c r="C22" s="22"/>
      <c r="D22" s="22"/>
      <c r="F22" s="18" t="s">
        <v>8</v>
      </c>
      <c r="G22" s="2">
        <v>30</v>
      </c>
      <c r="H22" s="6">
        <v>39.9</v>
      </c>
      <c r="I22" s="7">
        <f t="shared" ref="I22:I25" si="6">G22*H22</f>
        <v>1197</v>
      </c>
      <c r="J22" s="6">
        <f t="shared" ref="J22:J23" si="7">I22*0.6</f>
        <v>718.19999999999993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5">
      <c r="A23" s="2"/>
      <c r="B23" s="2"/>
      <c r="C23" s="2"/>
      <c r="D23" s="2"/>
      <c r="F23" s="18" t="s">
        <v>10</v>
      </c>
      <c r="G23" s="2">
        <v>30</v>
      </c>
      <c r="H23" s="6">
        <v>29.9</v>
      </c>
      <c r="I23" s="7">
        <f t="shared" si="6"/>
        <v>897</v>
      </c>
      <c r="J23" s="6">
        <f t="shared" si="7"/>
        <v>538.19999999999993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5">
      <c r="A24" s="45" t="s">
        <v>16</v>
      </c>
      <c r="B24" s="46"/>
      <c r="C24" s="46"/>
      <c r="D24" s="46"/>
      <c r="F24" s="16"/>
      <c r="G24" s="2"/>
      <c r="H24" s="6"/>
      <c r="I24" s="7">
        <f t="shared" si="6"/>
        <v>0</v>
      </c>
      <c r="J24" s="6">
        <f>I24*B39</f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5">
      <c r="A25" s="47" t="s">
        <v>17</v>
      </c>
      <c r="B25" s="48"/>
      <c r="C25" s="48"/>
      <c r="D25" s="49"/>
      <c r="F25" s="17"/>
      <c r="G25" s="2"/>
      <c r="H25" s="6"/>
      <c r="I25" s="7">
        <f t="shared" si="6"/>
        <v>0</v>
      </c>
      <c r="J25" s="6">
        <f>I25*C34</f>
        <v>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5">
      <c r="A26" s="15" t="s">
        <v>18</v>
      </c>
      <c r="B26" s="41" t="s">
        <v>19</v>
      </c>
      <c r="C26" s="42"/>
      <c r="D26" s="43"/>
      <c r="F26" s="20" t="s">
        <v>32</v>
      </c>
      <c r="G26" s="21">
        <f t="shared" ref="G26" si="8">SUM(G21:G25)</f>
        <v>90</v>
      </c>
      <c r="H26" s="20"/>
      <c r="I26" s="23">
        <f>SUM(I21:I25)</f>
        <v>4491</v>
      </c>
      <c r="J26" s="20">
        <f t="shared" ref="J26" si="9">SUM(J21:J25)</f>
        <v>2694.6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2.75" customHeight="1">
      <c r="A27" s="15" t="s">
        <v>20</v>
      </c>
      <c r="B27" s="50" t="s">
        <v>21</v>
      </c>
      <c r="C27" s="42"/>
      <c r="D27" s="4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.5">
      <c r="A28" s="15" t="s">
        <v>22</v>
      </c>
      <c r="B28" s="41" t="s">
        <v>23</v>
      </c>
      <c r="C28" s="42"/>
      <c r="D28" s="4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 customHeight="1">
      <c r="A29" s="15" t="s">
        <v>24</v>
      </c>
      <c r="B29" s="41" t="s">
        <v>25</v>
      </c>
      <c r="C29" s="42"/>
      <c r="D29" s="4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3.5">
      <c r="A30" s="15" t="s">
        <v>26</v>
      </c>
      <c r="B30" s="41" t="s">
        <v>27</v>
      </c>
      <c r="C30" s="42"/>
      <c r="D30" s="4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.5">
      <c r="A31" s="15" t="s">
        <v>28</v>
      </c>
      <c r="B31" s="41" t="s">
        <v>29</v>
      </c>
      <c r="C31" s="42"/>
      <c r="D31" s="4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.5"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.5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.5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.5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3.5">
      <c r="A36" s="2"/>
      <c r="B36" s="2"/>
      <c r="C36" s="2"/>
      <c r="D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3.5">
      <c r="A37" s="2"/>
      <c r="B37" s="2"/>
      <c r="C37" s="2"/>
      <c r="D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3.5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3.5">
      <c r="A39" s="2"/>
      <c r="B39" s="2"/>
      <c r="C39" s="2"/>
      <c r="D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3.5">
      <c r="A40" s="2"/>
      <c r="B40" s="2"/>
      <c r="C40" s="2"/>
      <c r="D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3.5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.5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.5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.5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.5">
      <c r="A964" s="2"/>
      <c r="B964" s="2"/>
      <c r="C964" s="2"/>
      <c r="D964" s="2"/>
      <c r="E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.5">
      <c r="A965" s="2"/>
      <c r="B965" s="2"/>
      <c r="C965" s="2"/>
      <c r="D965" s="2"/>
      <c r="E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.5">
      <c r="A966" s="2"/>
      <c r="B966" s="2"/>
      <c r="C966" s="2"/>
      <c r="D966" s="2"/>
      <c r="E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.5">
      <c r="A967" s="2"/>
      <c r="B967" s="2"/>
      <c r="C967" s="2"/>
      <c r="D967" s="2"/>
      <c r="E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.5">
      <c r="A968" s="2"/>
      <c r="B968" s="2"/>
      <c r="C968" s="2"/>
      <c r="D968" s="2"/>
      <c r="E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.5">
      <c r="A969" s="2"/>
      <c r="B969" s="2"/>
      <c r="C969" s="2"/>
      <c r="D969" s="2"/>
      <c r="E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.5">
      <c r="A970" s="2"/>
      <c r="B970" s="2"/>
      <c r="C970" s="2"/>
      <c r="D970" s="2"/>
      <c r="E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.5">
      <c r="A971" s="2"/>
      <c r="B971" s="2"/>
      <c r="C971" s="2"/>
      <c r="D971" s="2"/>
      <c r="E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.5">
      <c r="A972" s="2"/>
      <c r="B972" s="2"/>
      <c r="C972" s="2"/>
      <c r="D972" s="2"/>
      <c r="E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.5">
      <c r="A973" s="2"/>
      <c r="B973" s="2"/>
      <c r="C973" s="2"/>
      <c r="D973" s="2"/>
      <c r="E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.5">
      <c r="A974" s="2"/>
      <c r="B974" s="2"/>
      <c r="C974" s="2"/>
      <c r="D974" s="2"/>
      <c r="E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.5">
      <c r="A975" s="2"/>
      <c r="B975" s="2"/>
      <c r="C975" s="2"/>
      <c r="D975" s="2"/>
      <c r="E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.5">
      <c r="A976" s="2"/>
      <c r="B976" s="2"/>
      <c r="C976" s="2"/>
      <c r="D976" s="2"/>
      <c r="E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.5">
      <c r="A977" s="2"/>
      <c r="B977" s="2"/>
      <c r="C977" s="2"/>
      <c r="D977" s="2"/>
      <c r="E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.5">
      <c r="A978" s="2"/>
      <c r="B978" s="2"/>
      <c r="C978" s="2"/>
      <c r="D978" s="2"/>
      <c r="E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.5">
      <c r="A979" s="2"/>
      <c r="B979" s="2"/>
      <c r="C979" s="2"/>
      <c r="D979" s="2"/>
      <c r="E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.5">
      <c r="A980" s="2"/>
      <c r="B980" s="2"/>
      <c r="C980" s="2"/>
      <c r="D980" s="2"/>
      <c r="E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.5">
      <c r="A981" s="2"/>
      <c r="B981" s="2"/>
      <c r="C981" s="2"/>
      <c r="D981" s="2"/>
      <c r="E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.5">
      <c r="A982" s="2"/>
      <c r="B982" s="2"/>
      <c r="C982" s="2"/>
      <c r="D982" s="2"/>
      <c r="E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.5">
      <c r="A983" s="2"/>
      <c r="B983" s="2"/>
      <c r="C983" s="2"/>
      <c r="D983" s="2"/>
      <c r="E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</sheetData>
  <mergeCells count="18">
    <mergeCell ref="F19:J19"/>
    <mergeCell ref="A1:D1"/>
    <mergeCell ref="F1:J1"/>
    <mergeCell ref="A2:D3"/>
    <mergeCell ref="A4:D4"/>
    <mergeCell ref="A5:D5"/>
    <mergeCell ref="B6:D6"/>
    <mergeCell ref="B10:D10"/>
    <mergeCell ref="B29:D29"/>
    <mergeCell ref="B30:D30"/>
    <mergeCell ref="B31:D31"/>
    <mergeCell ref="B14:D14"/>
    <mergeCell ref="B19:D19"/>
    <mergeCell ref="A24:D24"/>
    <mergeCell ref="A25:D25"/>
    <mergeCell ref="B26:D26"/>
    <mergeCell ref="B27:D27"/>
    <mergeCell ref="B28:D28"/>
  </mergeCells>
  <printOptions horizontalCentered="1" gridLines="1"/>
  <pageMargins left="1" right="1" top="1" bottom="1" header="0" footer="0"/>
  <pageSetup paperSize="9" pageOrder="overThenDown" orientation="landscape" cellComments="atEnd"/>
  <rowBreaks count="2" manualBreakCount="2">
    <brk man="1"/>
    <brk id="36" man="1"/>
  </rowBreaks>
  <colBreaks count="2" manualBreakCount="2">
    <brk man="1"/>
    <brk id="1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SDR (estágio) Indicação</vt:lpstr>
      <vt:lpstr>Closer Senior</vt:lpstr>
      <vt:lpstr>Closer Líder</vt:lpstr>
      <vt:lpstr>Consultor da Saúde (Clínica)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MAYKO RODRIGUES</cp:lastModifiedBy>
  <cp:revision/>
  <dcterms:created xsi:type="dcterms:W3CDTF">2022-09-09T18:15:24Z</dcterms:created>
  <dcterms:modified xsi:type="dcterms:W3CDTF">2026-07-02T22:04:45Z</dcterms:modified>
  <cp:category/>
  <cp:contentStatus/>
</cp:coreProperties>
</file>